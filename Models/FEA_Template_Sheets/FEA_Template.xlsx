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Dev\"/>
    </mc:Choice>
  </mc:AlternateContent>
  <xr:revisionPtr revIDLastSave="0" documentId="8_{FBE452AB-2BC5-4DCA-AAAD-347EC06FB86B}" xr6:coauthVersionLast="47" xr6:coauthVersionMax="47" xr10:uidLastSave="{00000000-0000-0000-0000-000000000000}"/>
  <bookViews>
    <workbookView xWindow="340" yWindow="340" windowWidth="18230" windowHeight="10800" tabRatio="948" activeTab="5"/>
  </bookViews>
  <sheets>
    <sheet name="Support Equipment" sheetId="1" r:id="rId1"/>
    <sheet name="Personnel" sheetId="2" r:id="rId2"/>
    <sheet name="Repair Placement" sheetId="3" r:id="rId3"/>
    <sheet name="End Item" sheetId="4" r:id="rId4"/>
    <sheet name="Global Settings" sheetId="5" r:id="rId5"/>
    <sheet name="LRU" sheetId="6" r:id="rId6"/>
    <sheet name="NLRU" sheetId="7" r:id="rId7"/>
    <sheet name="SRU" sheetId="8" r:id="rId8"/>
    <sheet name="NSRU" sheetId="9" r:id="rId9"/>
    <sheet name="End Item Repair Methods" sheetId="10" r:id="rId10"/>
    <sheet name="LRU Repair Methods" sheetId="11" r:id="rId11"/>
    <sheet name="SRU Repair Methods" sheetId="12" r:id="rId12"/>
    <sheet name="Transportation" sheetId="13" r:id="rId13"/>
    <sheet name="Common Labor" sheetId="14" r:id="rId14"/>
    <sheet name="Supply" sheetId="15" r:id="rId15"/>
    <sheet name="Calculated Value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4" l="1"/>
  <c r="AD2" i="4"/>
  <c r="AL2" i="4"/>
  <c r="A2" i="5"/>
  <c r="B2" i="5"/>
  <c r="E2" i="6"/>
  <c r="T2" i="6"/>
  <c r="U2" i="6"/>
  <c r="W2" i="6"/>
  <c r="AC2" i="6"/>
  <c r="AK2" i="6"/>
  <c r="E3" i="6"/>
  <c r="T3" i="6"/>
  <c r="U3" i="6"/>
  <c r="W3" i="6"/>
  <c r="AC3" i="6"/>
  <c r="AK3" i="6"/>
  <c r="E4" i="6"/>
  <c r="T4" i="6"/>
  <c r="U4" i="6"/>
  <c r="W4" i="6"/>
  <c r="AC4" i="6"/>
  <c r="AK4" i="6"/>
  <c r="E5" i="6"/>
  <c r="T5" i="6"/>
  <c r="U5" i="6"/>
  <c r="W5" i="6"/>
  <c r="AC5" i="6"/>
  <c r="AK5" i="6"/>
  <c r="N2" i="7"/>
  <c r="P2" i="7"/>
  <c r="S2" i="7"/>
  <c r="T2" i="7"/>
  <c r="C2" i="2"/>
  <c r="A2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E2" i="8"/>
  <c r="Z2" i="8"/>
  <c r="E3" i="8"/>
  <c r="Z3" i="8"/>
  <c r="E4" i="8"/>
  <c r="Z4" i="8"/>
  <c r="E5" i="8"/>
  <c r="Z5" i="8"/>
  <c r="E6" i="8"/>
  <c r="Z6" i="8"/>
  <c r="E7" i="8"/>
  <c r="Z7" i="8"/>
  <c r="E2" i="1"/>
</calcChain>
</file>

<file path=xl/sharedStrings.xml><?xml version="1.0" encoding="utf-8"?>
<sst xmlns="http://schemas.openxmlformats.org/spreadsheetml/2006/main" count="420" uniqueCount="304">
  <si>
    <t>Support Equipment ID</t>
  </si>
  <si>
    <t>Support Equipment Name</t>
  </si>
  <si>
    <t>Life</t>
  </si>
  <si>
    <t>Development Cost</t>
  </si>
  <si>
    <t>Repair Only</t>
  </si>
  <si>
    <t>Lowest Level Authorized</t>
  </si>
  <si>
    <t>Unit Price - ORG</t>
  </si>
  <si>
    <t>Unit Price - DSU</t>
  </si>
  <si>
    <t>Unit Price - GSU</t>
  </si>
  <si>
    <t>Unit Price - DEPOT</t>
  </si>
  <si>
    <t>Installation Cost - ORG</t>
  </si>
  <si>
    <t>Installation Cost - DSU</t>
  </si>
  <si>
    <t>Installation Cost - GSU</t>
  </si>
  <si>
    <t>Installation Cost - DEPOT</t>
  </si>
  <si>
    <t>Annual Maintenance Cost - ORG</t>
  </si>
  <si>
    <t>Annual Maintenance Cost - DSU</t>
  </si>
  <si>
    <t>Annual Maintenance Cost - GSU</t>
  </si>
  <si>
    <t>Annual Maintenance Cost - DEPOT</t>
  </si>
  <si>
    <t>Annual Available Hours - ORG</t>
  </si>
  <si>
    <t>Annual Available Hours - DSU</t>
  </si>
  <si>
    <t>Annual Available Hours - GSU</t>
  </si>
  <si>
    <t>Annual Available Hours - DEPOT</t>
  </si>
  <si>
    <t>Lowest Level Common</t>
  </si>
  <si>
    <t>Equipment Cost in PVF - ORG</t>
  </si>
  <si>
    <t>Equipment Cost in PVF - DSU</t>
  </si>
  <si>
    <t>Equipment Cost in PVF - GSU</t>
  </si>
  <si>
    <t>Equipment Cost in PVF - DEPOT</t>
  </si>
  <si>
    <t>se-1</t>
  </si>
  <si>
    <t>AN/PSM-45</t>
  </si>
  <si>
    <t>ORG</t>
  </si>
  <si>
    <t>Personnel ID</t>
  </si>
  <si>
    <t>Personnel Name</t>
  </si>
  <si>
    <t>Salary - ORG</t>
  </si>
  <si>
    <t>Salary - DSU</t>
  </si>
  <si>
    <t>Salary - GSU</t>
  </si>
  <si>
    <t>Salary - DEPOT</t>
  </si>
  <si>
    <t>Training Cost - ORG</t>
  </si>
  <si>
    <t>Training Cost - DSU</t>
  </si>
  <si>
    <t>Training Cost - GSU</t>
  </si>
  <si>
    <t>Training Cost - DEPOT</t>
  </si>
  <si>
    <t>Loading Factor (%) - ORG</t>
  </si>
  <si>
    <t>Loading Factor (%) - DSU</t>
  </si>
  <si>
    <t>Loading Factor (%) - GSU</t>
  </si>
  <si>
    <t>Loading Factor (%) - DEPOT</t>
  </si>
  <si>
    <t>Turnover Rate - ORG</t>
  </si>
  <si>
    <t>Turnover Rate - DSU</t>
  </si>
  <si>
    <t>Turnover Rate - GSU</t>
  </si>
  <si>
    <t>Turnover Rate - DEPOT</t>
  </si>
  <si>
    <t>Annual Hours - ORG</t>
  </si>
  <si>
    <t>Annual Hours - DSU</t>
  </si>
  <si>
    <t>Annual Hours - GSU</t>
  </si>
  <si>
    <t>Annual Hours - DEPOT</t>
  </si>
  <si>
    <t>Lowest Authorized Echelon</t>
  </si>
  <si>
    <t>Personnel Cost - ORG</t>
  </si>
  <si>
    <t>Personnel Cost - DSU</t>
  </si>
  <si>
    <t>Personnel Cost - GSU</t>
  </si>
  <si>
    <t>Personnel Cost - DEPOT</t>
  </si>
  <si>
    <t>p-1</t>
  </si>
  <si>
    <t>BAS Personnel</t>
  </si>
  <si>
    <t>End Item Repair - ORG</t>
  </si>
  <si>
    <t>End Item Repair - DSU</t>
  </si>
  <si>
    <t>End Item Repair - GSU</t>
  </si>
  <si>
    <t>End Item Repair - DEPOT</t>
  </si>
  <si>
    <t>End Item Repair -  Contractor</t>
  </si>
  <si>
    <t>LRU Repair - ORG</t>
  </si>
  <si>
    <t>LRU Repair - DSU</t>
  </si>
  <si>
    <t>LRU Repair - GSU</t>
  </si>
  <si>
    <t>LRU Repair - DEPOT</t>
  </si>
  <si>
    <t>LRU Repair - Contractor</t>
  </si>
  <si>
    <t>SRU Repair - ORG</t>
  </si>
  <si>
    <t>SRU Repair - DSU</t>
  </si>
  <si>
    <t>SRU Repair - GSU</t>
  </si>
  <si>
    <t>SRU Repair - DEPOT</t>
  </si>
  <si>
    <t>SRU Repair -  Contractor</t>
  </si>
  <si>
    <t>Name</t>
  </si>
  <si>
    <t>CAGE Code</t>
  </si>
  <si>
    <t>Part Number:</t>
  </si>
  <si>
    <t>NSN or NIIN</t>
  </si>
  <si>
    <t>SMR Code</t>
  </si>
  <si>
    <t>LCN</t>
  </si>
  <si>
    <t>Unit Price ($)</t>
  </si>
  <si>
    <t>Packaged Weight</t>
  </si>
  <si>
    <t>Number of Systems</t>
  </si>
  <si>
    <t>Annual Operating Hours</t>
  </si>
  <si>
    <t>Availability Target</t>
  </si>
  <si>
    <t>MTBF</t>
  </si>
  <si>
    <t>DS Delay Cost</t>
  </si>
  <si>
    <t>DS Delay Time</t>
  </si>
  <si>
    <t>Is An Assembly</t>
  </si>
  <si>
    <t>% Additional Discards</t>
  </si>
  <si>
    <t>MTTR</t>
  </si>
  <si>
    <t>Diagnostic Time</t>
  </si>
  <si>
    <t>Number of Pages</t>
  </si>
  <si>
    <t>TPS Development Cost</t>
  </si>
  <si>
    <t>Annual TPS Maintenance Cost</t>
  </si>
  <si>
    <t>Number of Shops - ORG</t>
  </si>
  <si>
    <t>Number of Shops - DSU</t>
  </si>
  <si>
    <t>Number of Shops - GSU</t>
  </si>
  <si>
    <t>TAT - ORG</t>
  </si>
  <si>
    <t>TAT - DSU</t>
  </si>
  <si>
    <t>TAT - GSU</t>
  </si>
  <si>
    <t>TAT - DEPOT</t>
  </si>
  <si>
    <t>Contractor Repair</t>
  </si>
  <si>
    <t>Contractor Washout Rate</t>
  </si>
  <si>
    <t>Contractor - One Time Install Cost</t>
  </si>
  <si>
    <t>Contractor - Cost Per Failure</t>
  </si>
  <si>
    <t>Contractor - Diagnostic Cost</t>
  </si>
  <si>
    <t>Contractor - Response Time</t>
  </si>
  <si>
    <t>Ship To Contractor</t>
  </si>
  <si>
    <t>Received From Contractor</t>
  </si>
  <si>
    <t>End Item Floats</t>
  </si>
  <si>
    <t>End Item Float - Special Order Ship Time</t>
  </si>
  <si>
    <t>End Item Float - Mean Time To Install</t>
  </si>
  <si>
    <t>End Item Float - Issue Echelon</t>
  </si>
  <si>
    <t>End Item Float - Repair Echelon</t>
  </si>
  <si>
    <t>HF Radio Set</t>
  </si>
  <si>
    <t>MDP81</t>
  </si>
  <si>
    <t>AN/PRC-104A</t>
  </si>
  <si>
    <t>111111111</t>
  </si>
  <si>
    <t>PADDD</t>
  </si>
  <si>
    <t>A</t>
  </si>
  <si>
    <t>Redundant LRUs</t>
  </si>
  <si>
    <t>ORG Label</t>
  </si>
  <si>
    <t>DSU Label</t>
  </si>
  <si>
    <t>GSU Label</t>
  </si>
  <si>
    <t>Depot Label</t>
  </si>
  <si>
    <t>End Item Label</t>
  </si>
  <si>
    <t>LRU Label</t>
  </si>
  <si>
    <t>SRU Label</t>
  </si>
  <si>
    <t>Turn Around Time - ORG</t>
  </si>
  <si>
    <t>Turn Around Time - DSU</t>
  </si>
  <si>
    <t>Turn Around Time - GSU</t>
  </si>
  <si>
    <t>Turn Around Time - DEPOT</t>
  </si>
  <si>
    <t>Classification Level</t>
  </si>
  <si>
    <t>DSU</t>
  </si>
  <si>
    <t>GSU</t>
  </si>
  <si>
    <t>DEPOT</t>
  </si>
  <si>
    <t>End Item</t>
  </si>
  <si>
    <t>LRU</t>
  </si>
  <si>
    <t>SRU</t>
  </si>
  <si>
    <t>15</t>
  </si>
  <si>
    <t>45</t>
  </si>
  <si>
    <t>90</t>
  </si>
  <si>
    <t>180</t>
  </si>
  <si>
    <t>NONE</t>
  </si>
  <si>
    <t>ID</t>
  </si>
  <si>
    <t>CAGE</t>
  </si>
  <si>
    <t>Part Number</t>
  </si>
  <si>
    <t>LRU Has NSN</t>
  </si>
  <si>
    <t>Unit Price</t>
  </si>
  <si>
    <t>False Removal Rate</t>
  </si>
  <si>
    <t>Washout Rate</t>
  </si>
  <si>
    <t>Diagnosis Time</t>
  </si>
  <si>
    <t>Issue Float</t>
  </si>
  <si>
    <t>Peculiar Repair?</t>
  </si>
  <si>
    <t>Peculiar Repair MTTR</t>
  </si>
  <si>
    <t>Redundancy</t>
  </si>
  <si>
    <t>Number Redundant</t>
  </si>
  <si>
    <t>Min Operable</t>
  </si>
  <si>
    <t>Technical Documentation (pages)</t>
  </si>
  <si>
    <t>Contractor Repair Considered</t>
  </si>
  <si>
    <t>Contractor One Time Install Cost</t>
  </si>
  <si>
    <t>Contractor Diagnostic Cost</t>
  </si>
  <si>
    <t>Contractor Repair Cost</t>
  </si>
  <si>
    <t>Contractor Turn Around Time</t>
  </si>
  <si>
    <t>Contractor Ship Echelon</t>
  </si>
  <si>
    <t>Contractor Receive Echelon</t>
  </si>
  <si>
    <t>Is Multiple Instance</t>
  </si>
  <si>
    <t>Number of Instances</t>
  </si>
  <si>
    <t>lruid-1</t>
  </si>
  <si>
    <t>Antenna</t>
  </si>
  <si>
    <t>AT-271A</t>
  </si>
  <si>
    <t>AD</t>
  </si>
  <si>
    <t>PAFFF</t>
  </si>
  <si>
    <t>lruid-2</t>
  </si>
  <si>
    <t>Receiver-Transmitter</t>
  </si>
  <si>
    <t>RT-1209</t>
  </si>
  <si>
    <t>222222222</t>
  </si>
  <si>
    <t>AA</t>
  </si>
  <si>
    <t>lruid-3</t>
  </si>
  <si>
    <t>Amplifier-Coupler</t>
  </si>
  <si>
    <t>MA-6874</t>
  </si>
  <si>
    <t>333333333</t>
  </si>
  <si>
    <t>AB</t>
  </si>
  <si>
    <t>lruid-4</t>
  </si>
  <si>
    <t>Power Supply</t>
  </si>
  <si>
    <t>AM-7152</t>
  </si>
  <si>
    <t>444444444</t>
  </si>
  <si>
    <t>AC</t>
  </si>
  <si>
    <t>Number of Parts</t>
  </si>
  <si>
    <t>Number Needing NSN</t>
  </si>
  <si>
    <t>Average Replacement Price</t>
  </si>
  <si>
    <t>Average Replacement Weight</t>
  </si>
  <si>
    <t>End Item Peculiar Repair?</t>
  </si>
  <si>
    <t>MTTR with Peculiar Repair</t>
  </si>
  <si>
    <t>Number Redundant Required</t>
  </si>
  <si>
    <t>Issue EI Float</t>
  </si>
  <si>
    <t>lruid-5</t>
  </si>
  <si>
    <t>Signal Generator</t>
  </si>
  <si>
    <t>Has NSN</t>
  </si>
  <si>
    <t>Weight</t>
  </si>
  <si>
    <t>Average Price of Piece Parts</t>
  </si>
  <si>
    <t>Number of Parts Needing NSN</t>
  </si>
  <si>
    <t>ParentLRU ID</t>
  </si>
  <si>
    <t>Technical Documentation Pages</t>
  </si>
  <si>
    <t>Contractor Response Time</t>
  </si>
  <si>
    <t>sruid-2</t>
  </si>
  <si>
    <t>Antenna Base</t>
  </si>
  <si>
    <t>AB-1241</t>
  </si>
  <si>
    <t>110000000</t>
  </si>
  <si>
    <t>ADA</t>
  </si>
  <si>
    <t>PAOOO</t>
  </si>
  <si>
    <t>sruid-3</t>
  </si>
  <si>
    <t>Housing</t>
  </si>
  <si>
    <t>HS-1209</t>
  </si>
  <si>
    <t>555555555</t>
  </si>
  <si>
    <t>AAA</t>
  </si>
  <si>
    <t>sruid-4</t>
  </si>
  <si>
    <t>Modulator/Demodulator</t>
  </si>
  <si>
    <t>MD-1209</t>
  </si>
  <si>
    <t>666666666</t>
  </si>
  <si>
    <t>AAB</t>
  </si>
  <si>
    <t>sruid-5</t>
  </si>
  <si>
    <t>RF Amplifier Assembly</t>
  </si>
  <si>
    <t>PA-6874</t>
  </si>
  <si>
    <t>777777777</t>
  </si>
  <si>
    <t>ABA</t>
  </si>
  <si>
    <t>sruid-6</t>
  </si>
  <si>
    <t>PWB Amplifier</t>
  </si>
  <si>
    <t>888888888</t>
  </si>
  <si>
    <t>ABB</t>
  </si>
  <si>
    <t>Number or Parts Needing NSN</t>
  </si>
  <si>
    <t>Total Price of Parts for Average Replacement ($)</t>
  </si>
  <si>
    <t>Weight of Parts for Average Replacement (lbs)</t>
  </si>
  <si>
    <t>Parent LRU Id</t>
  </si>
  <si>
    <t>Parent LRU Name</t>
  </si>
  <si>
    <t>sruid-1</t>
  </si>
  <si>
    <t>Battery</t>
  </si>
  <si>
    <t>BA-7152</t>
  </si>
  <si>
    <t>999999999</t>
  </si>
  <si>
    <t>ACA</t>
  </si>
  <si>
    <t>PAZZZ</t>
  </si>
  <si>
    <t>End Item Name</t>
  </si>
  <si>
    <t>Resource ID</t>
  </si>
  <si>
    <t>Resource Name</t>
  </si>
  <si>
    <t>Resource Utilization Time</t>
  </si>
  <si>
    <t>LRU ID</t>
  </si>
  <si>
    <t>LRU Name</t>
  </si>
  <si>
    <t>SRU ID</t>
  </si>
  <si>
    <t>SRU Name</t>
  </si>
  <si>
    <t>Resource Id</t>
  </si>
  <si>
    <t>Order Ship Time - ORG-DSU</t>
  </si>
  <si>
    <t>Order Ship Time - DSU-GSU</t>
  </si>
  <si>
    <t>Order Ship Time - GSU-DEPOT</t>
  </si>
  <si>
    <t>Cost ($/lb*mi) - ORG-DSU</t>
  </si>
  <si>
    <t>Cost ($/lb*mi) - DSU-GSU</t>
  </si>
  <si>
    <t>Cost ($/lb*mi) - GSU-DEPOT</t>
  </si>
  <si>
    <t>Distance (mi) - ORG-DSU</t>
  </si>
  <si>
    <t>Distance (mi) - DSU-GSU</t>
  </si>
  <si>
    <t>Distance (mi) - GSU-DEPOT</t>
  </si>
  <si>
    <t>Cost ($/lb) - ORG-DSU</t>
  </si>
  <si>
    <t>Cost ($/lb) - DSU-GSU</t>
  </si>
  <si>
    <t>Cost ($/lb) - GSU-DEPOT</t>
  </si>
  <si>
    <t>Unloaded Hourly Rate - ORG</t>
  </si>
  <si>
    <t>Unloaded Hourly Rate - DSU</t>
  </si>
  <si>
    <t>Unloaded Hourly Rate - GSU</t>
  </si>
  <si>
    <t>Unloaded Hourly Rate - DEPOT</t>
  </si>
  <si>
    <t>Productivity Factor - ORG</t>
  </si>
  <si>
    <t>Productivity Factor - GSU</t>
  </si>
  <si>
    <t>Productivity Factor - DSU</t>
  </si>
  <si>
    <t>Productivity Factor - DEPOT</t>
  </si>
  <si>
    <t>Loading Factor - ORG</t>
  </si>
  <si>
    <t>Loading Factor - DSU</t>
  </si>
  <si>
    <t>Loading Factor - GSU</t>
  </si>
  <si>
    <t>Loading Factor - DEPOT</t>
  </si>
  <si>
    <t>Effective Hourly Rate - ORG</t>
  </si>
  <si>
    <t>Effective Hourly Rate - DSU</t>
  </si>
  <si>
    <t>Effective Hourly Rate - GSU</t>
  </si>
  <si>
    <t>Effective Hourly Rate - DEPOT</t>
  </si>
  <si>
    <t>Initial Bin Cost</t>
  </si>
  <si>
    <t>Recurring Bin Cost</t>
  </si>
  <si>
    <t>Hold Cost Fraction</t>
  </si>
  <si>
    <t>Cost Per Requisition</t>
  </si>
  <si>
    <t>Initial Cataloging Cost</t>
  </si>
  <si>
    <t>Recurring Cataloging Cost</t>
  </si>
  <si>
    <t>Procurement Lead Time</t>
  </si>
  <si>
    <t>Technical Documentation Cost Per Page</t>
  </si>
  <si>
    <t>Discount Rate</t>
  </si>
  <si>
    <t>Wholesale Fill Rate</t>
  </si>
  <si>
    <t>Present Value Factor</t>
  </si>
  <si>
    <t>Bin Cost (PVF)</t>
  </si>
  <si>
    <t>Holding Factor (PVF)</t>
  </si>
  <si>
    <t>Cataloging Cost (PVF)</t>
  </si>
  <si>
    <t>Effective Common Labor - ORG</t>
  </si>
  <si>
    <t>Effective Common Labor - DSU</t>
  </si>
  <si>
    <t>Effective Common Labor - GSU</t>
  </si>
  <si>
    <t>Effective Common Labor - DEPOT</t>
  </si>
  <si>
    <t>Transportation Cost (PVF) - ORG to DSU</t>
  </si>
  <si>
    <t>Transportation Cost (PVF) - DSU to GSU</t>
  </si>
  <si>
    <t>Transportation Cost (PVF) - GSU to DEPOT</t>
  </si>
  <si>
    <t>End Item Unit Price (PVF)</t>
  </si>
  <si>
    <t>Inherent Availability</t>
  </si>
  <si>
    <t>Derived MTBF</t>
  </si>
  <si>
    <t>Failure Density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</si>
</sst>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workbookViewId="0"/>
  </sheetViews>
  <sheetFormatPr defaultColWidth="10.7265625" defaultRowHeight="12.5" x14ac:dyDescent="0.25"/>
  <cols>
    <col min="2" max="2" width="18.2695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>
        <v>10</v>
      </c>
      <c r="D2">
        <v>0</v>
      </c>
      <c r="E2" t="b">
        <f>FALSE</f>
        <v>0</v>
      </c>
      <c r="F2" t="s">
        <v>29</v>
      </c>
      <c r="G2">
        <v>133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26.6</v>
      </c>
      <c r="P2">
        <v>0</v>
      </c>
      <c r="Q2">
        <v>0</v>
      </c>
      <c r="R2">
        <v>0</v>
      </c>
      <c r="S2">
        <v>1768</v>
      </c>
      <c r="T2">
        <v>0</v>
      </c>
      <c r="U2">
        <v>0</v>
      </c>
      <c r="V2">
        <v>0</v>
      </c>
      <c r="W2" t="s">
        <v>29</v>
      </c>
      <c r="X2">
        <v>736.4169482463459</v>
      </c>
      <c r="Y2">
        <v>0</v>
      </c>
      <c r="Z2">
        <v>0</v>
      </c>
      <c r="AA2">
        <v>0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workbookViewId="0"/>
  </sheetViews>
  <sheetFormatPr defaultColWidth="10.7265625" defaultRowHeight="12.5" x14ac:dyDescent="0.25"/>
  <sheetData>
    <row r="1" spans="1:29" x14ac:dyDescent="0.25">
      <c r="A1" s="1" t="s">
        <v>30</v>
      </c>
      <c r="B1" s="1" t="s">
        <v>31</v>
      </c>
      <c r="C1" s="1" t="s">
        <v>4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22</v>
      </c>
      <c r="Z1" s="1" t="s">
        <v>53</v>
      </c>
      <c r="AA1" s="1" t="s">
        <v>54</v>
      </c>
      <c r="AB1" s="1" t="s">
        <v>55</v>
      </c>
      <c r="AC1" s="1" t="s">
        <v>56</v>
      </c>
    </row>
    <row r="2" spans="1:29" x14ac:dyDescent="0.25">
      <c r="A2" t="s">
        <v>57</v>
      </c>
      <c r="B2" t="s">
        <v>58</v>
      </c>
      <c r="C2" t="b">
        <f>FALSE</f>
        <v>0</v>
      </c>
      <c r="D2">
        <v>15000</v>
      </c>
      <c r="E2">
        <v>0</v>
      </c>
      <c r="F2">
        <v>0</v>
      </c>
      <c r="G2">
        <v>0</v>
      </c>
      <c r="H2">
        <v>2000</v>
      </c>
      <c r="I2">
        <v>0</v>
      </c>
      <c r="J2">
        <v>0</v>
      </c>
      <c r="K2">
        <v>0</v>
      </c>
      <c r="L2">
        <v>0.30000000000000004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2000</v>
      </c>
      <c r="U2">
        <v>0</v>
      </c>
      <c r="V2">
        <v>0</v>
      </c>
      <c r="W2">
        <v>0</v>
      </c>
      <c r="X2" t="s">
        <v>29</v>
      </c>
      <c r="Y2" t="s">
        <v>29</v>
      </c>
      <c r="Z2">
        <v>389919.28571868903</v>
      </c>
      <c r="AA2">
        <v>0</v>
      </c>
      <c r="AB2">
        <v>0</v>
      </c>
      <c r="AC2">
        <v>0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ColWidth="10.7265625" defaultRowHeight="12.5" x14ac:dyDescent="0.25"/>
  <sheetData>
    <row r="1" spans="1:15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</row>
    <row r="2" spans="1:15" x14ac:dyDescent="0.25">
      <c r="A2" t="b">
        <f>TRUE</f>
        <v>1</v>
      </c>
      <c r="B2" t="b">
        <f>TRUE</f>
        <v>1</v>
      </c>
      <c r="C2" t="b">
        <f>FALSE</f>
        <v>0</v>
      </c>
      <c r="D2" t="b">
        <f>FALSE</f>
        <v>0</v>
      </c>
      <c r="E2" t="b">
        <f>FALSE</f>
        <v>0</v>
      </c>
      <c r="F2" t="b">
        <f>TRUE</f>
        <v>1</v>
      </c>
      <c r="G2" t="b">
        <f>TRUE</f>
        <v>1</v>
      </c>
      <c r="H2" t="b">
        <f>TRUE</f>
        <v>1</v>
      </c>
      <c r="I2" t="b">
        <f>TRUE</f>
        <v>1</v>
      </c>
      <c r="J2" t="b">
        <f>FALSE</f>
        <v>0</v>
      </c>
      <c r="K2" t="b">
        <f>TRUE</f>
        <v>1</v>
      </c>
      <c r="L2" t="b">
        <f>TRUE</f>
        <v>1</v>
      </c>
      <c r="M2" t="b">
        <f>TRUE</f>
        <v>1</v>
      </c>
      <c r="N2" t="b">
        <f>TRUE</f>
        <v>1</v>
      </c>
      <c r="O2" t="b">
        <f>FALSE</f>
        <v>0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ColWidth="10.7265625" defaultRowHeight="12.5" x14ac:dyDescent="0.25"/>
  <sheetData>
    <row r="1" spans="1:42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2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1" t="s">
        <v>94</v>
      </c>
      <c r="W1" s="1" t="s">
        <v>95</v>
      </c>
      <c r="X1" s="1" t="s">
        <v>96</v>
      </c>
      <c r="Y1" s="1" t="s">
        <v>97</v>
      </c>
      <c r="Z1" s="1" t="s">
        <v>98</v>
      </c>
      <c r="AA1" s="1" t="s">
        <v>99</v>
      </c>
      <c r="AB1" s="1" t="s">
        <v>100</v>
      </c>
      <c r="AC1" s="1" t="s">
        <v>101</v>
      </c>
      <c r="AD1" s="1" t="s">
        <v>102</v>
      </c>
      <c r="AE1" s="1" t="s">
        <v>103</v>
      </c>
      <c r="AF1" s="1" t="s">
        <v>104</v>
      </c>
      <c r="AG1" s="1" t="s">
        <v>105</v>
      </c>
      <c r="AH1" s="1" t="s">
        <v>106</v>
      </c>
      <c r="AI1" s="1" t="s">
        <v>107</v>
      </c>
      <c r="AJ1" s="1" t="s">
        <v>108</v>
      </c>
      <c r="AK1" s="1" t="s">
        <v>109</v>
      </c>
      <c r="AL1" s="1" t="s">
        <v>110</v>
      </c>
      <c r="AM1" s="1" t="s">
        <v>111</v>
      </c>
      <c r="AN1" s="1" t="s">
        <v>112</v>
      </c>
      <c r="AO1" s="1" t="s">
        <v>113</v>
      </c>
      <c r="AP1" s="1" t="s">
        <v>114</v>
      </c>
    </row>
    <row r="2" spans="1:42" x14ac:dyDescent="0.25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  <c r="G2">
        <v>20</v>
      </c>
      <c r="H2">
        <v>12500</v>
      </c>
      <c r="I2">
        <v>0</v>
      </c>
      <c r="J2">
        <v>1546</v>
      </c>
      <c r="K2">
        <v>6570</v>
      </c>
      <c r="L2">
        <v>0.84</v>
      </c>
      <c r="M2">
        <v>1500</v>
      </c>
      <c r="N2">
        <v>0</v>
      </c>
      <c r="O2">
        <v>48</v>
      </c>
      <c r="P2" t="b">
        <f>FALSE</f>
        <v>0</v>
      </c>
      <c r="Q2">
        <v>0</v>
      </c>
      <c r="R2">
        <v>0.4</v>
      </c>
      <c r="S2">
        <v>0</v>
      </c>
      <c r="T2">
        <v>0</v>
      </c>
      <c r="U2">
        <v>0</v>
      </c>
      <c r="V2">
        <v>0</v>
      </c>
      <c r="W2">
        <v>155</v>
      </c>
      <c r="X2">
        <v>45</v>
      </c>
      <c r="Y2">
        <v>13</v>
      </c>
      <c r="Z2">
        <v>1</v>
      </c>
      <c r="AA2">
        <v>15</v>
      </c>
      <c r="AB2">
        <v>45</v>
      </c>
      <c r="AC2">
        <v>180</v>
      </c>
      <c r="AD2" t="b">
        <f>FALSE</f>
        <v>0</v>
      </c>
      <c r="AL2" t="b">
        <f>FALSE</f>
        <v>0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ColWidth="10.7265625" defaultRowHeight="12.5" x14ac:dyDescent="0.25"/>
  <sheetData>
    <row r="1" spans="1:14" x14ac:dyDescent="0.25">
      <c r="A1" s="1" t="s">
        <v>102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</row>
    <row r="2" spans="1:14" x14ac:dyDescent="0.25">
      <c r="A2" t="b">
        <f>TRUE</f>
        <v>1</v>
      </c>
      <c r="B2" t="b">
        <f>TRUE</f>
        <v>1</v>
      </c>
      <c r="C2" t="s">
        <v>29</v>
      </c>
      <c r="D2" t="s">
        <v>134</v>
      </c>
      <c r="E2" t="s">
        <v>135</v>
      </c>
      <c r="F2" t="s">
        <v>136</v>
      </c>
      <c r="G2" t="s">
        <v>137</v>
      </c>
      <c r="H2" t="s">
        <v>138</v>
      </c>
      <c r="I2" t="s">
        <v>139</v>
      </c>
      <c r="J2" t="s">
        <v>140</v>
      </c>
      <c r="K2" t="s">
        <v>141</v>
      </c>
      <c r="L2" t="s">
        <v>142</v>
      </c>
      <c r="M2" t="s">
        <v>143</v>
      </c>
      <c r="N2" t="s">
        <v>144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"/>
  <sheetViews>
    <sheetView tabSelected="1" topLeftCell="O1" workbookViewId="0">
      <selection activeCell="O1" sqref="O1"/>
    </sheetView>
  </sheetViews>
  <sheetFormatPr defaultColWidth="10.7265625" defaultRowHeight="12.5" x14ac:dyDescent="0.25"/>
  <sheetData>
    <row r="1" spans="1:38" x14ac:dyDescent="0.25">
      <c r="A1" s="1" t="s">
        <v>145</v>
      </c>
      <c r="B1" s="1" t="s">
        <v>74</v>
      </c>
      <c r="C1" s="1" t="s">
        <v>146</v>
      </c>
      <c r="D1" s="1" t="s">
        <v>147</v>
      </c>
      <c r="E1" s="1" t="s">
        <v>148</v>
      </c>
      <c r="F1" s="1" t="s">
        <v>77</v>
      </c>
      <c r="G1" s="1" t="s">
        <v>79</v>
      </c>
      <c r="H1" s="1" t="s">
        <v>78</v>
      </c>
      <c r="I1" s="1" t="s">
        <v>149</v>
      </c>
      <c r="J1" s="1" t="s">
        <v>81</v>
      </c>
      <c r="K1" s="1" t="s">
        <v>150</v>
      </c>
      <c r="L1" s="1" t="s">
        <v>151</v>
      </c>
      <c r="M1" s="1" t="s">
        <v>85</v>
      </c>
      <c r="N1" s="1" t="s">
        <v>90</v>
      </c>
      <c r="O1" s="1" t="s">
        <v>152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157</v>
      </c>
      <c r="Y1" s="1" t="s">
        <v>158</v>
      </c>
      <c r="Z1" s="1" t="s">
        <v>159</v>
      </c>
      <c r="AA1" s="1" t="s">
        <v>93</v>
      </c>
      <c r="AB1" s="1" t="s">
        <v>94</v>
      </c>
      <c r="AC1" s="1" t="s">
        <v>160</v>
      </c>
      <c r="AD1" s="1" t="s">
        <v>103</v>
      </c>
      <c r="AE1" s="1" t="s">
        <v>161</v>
      </c>
      <c r="AF1" s="1" t="s">
        <v>162</v>
      </c>
      <c r="AG1" s="1" t="s">
        <v>163</v>
      </c>
      <c r="AH1" s="1" t="s">
        <v>164</v>
      </c>
      <c r="AI1" s="1" t="s">
        <v>165</v>
      </c>
      <c r="AJ1" s="1" t="s">
        <v>166</v>
      </c>
      <c r="AK1" s="1" t="s">
        <v>167</v>
      </c>
      <c r="AL1" s="1" t="s">
        <v>168</v>
      </c>
    </row>
    <row r="2" spans="1:38" x14ac:dyDescent="0.25">
      <c r="A2" t="s">
        <v>169</v>
      </c>
      <c r="B2" t="s">
        <v>170</v>
      </c>
      <c r="C2" t="s">
        <v>116</v>
      </c>
      <c r="D2" t="s">
        <v>171</v>
      </c>
      <c r="E2" t="b">
        <f>FALSE</f>
        <v>0</v>
      </c>
      <c r="G2" t="s">
        <v>172</v>
      </c>
      <c r="H2" t="s">
        <v>173</v>
      </c>
      <c r="I2">
        <v>448</v>
      </c>
      <c r="J2">
        <v>0.45</v>
      </c>
      <c r="K2">
        <v>0.02</v>
      </c>
      <c r="L2">
        <v>0.02</v>
      </c>
      <c r="M2">
        <v>0</v>
      </c>
      <c r="N2">
        <v>0.60000000000000009</v>
      </c>
      <c r="O2">
        <v>0</v>
      </c>
      <c r="P2">
        <v>15</v>
      </c>
      <c r="Q2">
        <v>45</v>
      </c>
      <c r="R2">
        <v>90</v>
      </c>
      <c r="S2">
        <v>180</v>
      </c>
      <c r="T2" t="b">
        <f>FALSE</f>
        <v>0</v>
      </c>
      <c r="U2" t="b">
        <f>FALSE</f>
        <v>0</v>
      </c>
      <c r="V2">
        <v>0</v>
      </c>
      <c r="W2" t="b">
        <f>FALSE</f>
        <v>0</v>
      </c>
      <c r="X2">
        <v>0</v>
      </c>
      <c r="Y2">
        <v>0</v>
      </c>
      <c r="Z2">
        <v>125</v>
      </c>
      <c r="AA2">
        <v>20000</v>
      </c>
      <c r="AB2">
        <v>2500</v>
      </c>
      <c r="AC2" t="b">
        <f>FALSE</f>
        <v>0</v>
      </c>
      <c r="AK2" t="b">
        <f>FALSE</f>
        <v>0</v>
      </c>
      <c r="AL2">
        <v>0</v>
      </c>
    </row>
    <row r="3" spans="1:38" x14ac:dyDescent="0.25">
      <c r="A3" t="s">
        <v>174</v>
      </c>
      <c r="B3" t="s">
        <v>175</v>
      </c>
      <c r="C3" t="s">
        <v>116</v>
      </c>
      <c r="D3" t="s">
        <v>176</v>
      </c>
      <c r="E3" t="b">
        <f>FALSE</f>
        <v>0</v>
      </c>
      <c r="F3" t="s">
        <v>177</v>
      </c>
      <c r="G3" t="s">
        <v>178</v>
      </c>
      <c r="H3" t="s">
        <v>173</v>
      </c>
      <c r="I3">
        <v>5876</v>
      </c>
      <c r="J3">
        <v>5.9</v>
      </c>
      <c r="K3">
        <v>0.02</v>
      </c>
      <c r="L3">
        <v>0.02</v>
      </c>
      <c r="M3">
        <v>0</v>
      </c>
      <c r="N3">
        <v>0.8</v>
      </c>
      <c r="O3">
        <v>0.4</v>
      </c>
      <c r="P3">
        <v>15</v>
      </c>
      <c r="Q3">
        <v>45</v>
      </c>
      <c r="R3">
        <v>90</v>
      </c>
      <c r="S3">
        <v>180</v>
      </c>
      <c r="T3" t="b">
        <f>FALSE</f>
        <v>0</v>
      </c>
      <c r="U3" t="b">
        <f>FALSE</f>
        <v>0</v>
      </c>
      <c r="V3">
        <v>0</v>
      </c>
      <c r="W3" t="b">
        <f>FALSE</f>
        <v>0</v>
      </c>
      <c r="X3">
        <v>0</v>
      </c>
      <c r="Y3">
        <v>0</v>
      </c>
      <c r="Z3">
        <v>287</v>
      </c>
      <c r="AA3">
        <v>85000</v>
      </c>
      <c r="AB3">
        <v>4250</v>
      </c>
      <c r="AC3" t="b">
        <f>FALSE</f>
        <v>0</v>
      </c>
      <c r="AK3" t="b">
        <f>FALSE</f>
        <v>0</v>
      </c>
      <c r="AL3">
        <v>0</v>
      </c>
    </row>
    <row r="4" spans="1:38" x14ac:dyDescent="0.25">
      <c r="A4" t="s">
        <v>179</v>
      </c>
      <c r="B4" t="s">
        <v>180</v>
      </c>
      <c r="C4" t="s">
        <v>116</v>
      </c>
      <c r="D4" t="s">
        <v>181</v>
      </c>
      <c r="E4" t="b">
        <f>FALSE</f>
        <v>0</v>
      </c>
      <c r="F4" t="s">
        <v>182</v>
      </c>
      <c r="G4" t="s">
        <v>183</v>
      </c>
      <c r="H4" t="s">
        <v>173</v>
      </c>
      <c r="I4">
        <v>1974</v>
      </c>
      <c r="J4">
        <v>4.4000000000000004</v>
      </c>
      <c r="K4">
        <v>0.02</v>
      </c>
      <c r="L4">
        <v>0.02</v>
      </c>
      <c r="M4">
        <v>0</v>
      </c>
      <c r="N4">
        <v>0.30000000000000004</v>
      </c>
      <c r="O4">
        <v>0.1</v>
      </c>
      <c r="P4">
        <v>15</v>
      </c>
      <c r="Q4">
        <v>45</v>
      </c>
      <c r="R4">
        <v>90</v>
      </c>
      <c r="S4">
        <v>180</v>
      </c>
      <c r="T4" t="b">
        <f>FALSE</f>
        <v>0</v>
      </c>
      <c r="U4" t="b">
        <f>FALSE</f>
        <v>0</v>
      </c>
      <c r="V4">
        <v>0</v>
      </c>
      <c r="W4" t="b">
        <f>FALSE</f>
        <v>0</v>
      </c>
      <c r="X4">
        <v>0</v>
      </c>
      <c r="Y4">
        <v>0</v>
      </c>
      <c r="Z4">
        <v>222</v>
      </c>
      <c r="AA4">
        <v>85000</v>
      </c>
      <c r="AB4">
        <v>4250</v>
      </c>
      <c r="AC4" t="b">
        <f>FALSE</f>
        <v>0</v>
      </c>
      <c r="AK4" t="b">
        <f>FALSE</f>
        <v>0</v>
      </c>
      <c r="AL4">
        <v>0</v>
      </c>
    </row>
    <row r="5" spans="1:38" x14ac:dyDescent="0.25">
      <c r="A5" t="s">
        <v>184</v>
      </c>
      <c r="B5" t="s">
        <v>185</v>
      </c>
      <c r="C5" t="s">
        <v>116</v>
      </c>
      <c r="D5" t="s">
        <v>186</v>
      </c>
      <c r="E5" t="b">
        <f>FALSE</f>
        <v>0</v>
      </c>
      <c r="F5" t="s">
        <v>187</v>
      </c>
      <c r="G5" t="s">
        <v>188</v>
      </c>
      <c r="H5" t="s">
        <v>173</v>
      </c>
      <c r="I5">
        <v>552</v>
      </c>
      <c r="J5">
        <v>1.75</v>
      </c>
      <c r="K5">
        <v>0.02</v>
      </c>
      <c r="L5">
        <v>0.15</v>
      </c>
      <c r="M5">
        <v>0</v>
      </c>
      <c r="N5">
        <v>0.25</v>
      </c>
      <c r="O5">
        <v>0.1</v>
      </c>
      <c r="P5">
        <v>15</v>
      </c>
      <c r="Q5">
        <v>45</v>
      </c>
      <c r="R5">
        <v>90</v>
      </c>
      <c r="S5">
        <v>180</v>
      </c>
      <c r="T5" t="b">
        <f>FALSE</f>
        <v>0</v>
      </c>
      <c r="U5" t="b">
        <f>FALSE</f>
        <v>0</v>
      </c>
      <c r="V5">
        <v>0</v>
      </c>
      <c r="W5" t="b">
        <f>FALSE</f>
        <v>0</v>
      </c>
      <c r="X5">
        <v>0</v>
      </c>
      <c r="Y5">
        <v>0</v>
      </c>
      <c r="Z5">
        <v>30</v>
      </c>
      <c r="AA5">
        <v>0</v>
      </c>
      <c r="AB5">
        <v>0</v>
      </c>
      <c r="AC5" t="b">
        <f>FALSE</f>
        <v>0</v>
      </c>
      <c r="AK5" t="b">
        <f>FALSE</f>
        <v>0</v>
      </c>
      <c r="AL5">
        <v>0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/>
  </sheetViews>
  <sheetFormatPr defaultColWidth="10.7265625" defaultRowHeight="12.5" x14ac:dyDescent="0.25"/>
  <sheetData>
    <row r="1" spans="1:21" x14ac:dyDescent="0.25">
      <c r="A1" s="1" t="s">
        <v>145</v>
      </c>
      <c r="B1" s="1" t="s">
        <v>74</v>
      </c>
      <c r="C1" s="1" t="s">
        <v>146</v>
      </c>
      <c r="D1" s="1" t="s">
        <v>147</v>
      </c>
      <c r="E1" s="1" t="s">
        <v>77</v>
      </c>
      <c r="F1" s="1" t="s">
        <v>79</v>
      </c>
      <c r="G1" s="1" t="s">
        <v>78</v>
      </c>
      <c r="H1" s="1" t="s">
        <v>189</v>
      </c>
      <c r="I1" s="1" t="s">
        <v>190</v>
      </c>
      <c r="J1" s="1" t="s">
        <v>150</v>
      </c>
      <c r="K1" s="1" t="s">
        <v>85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156</v>
      </c>
      <c r="Q1" s="1" t="s">
        <v>157</v>
      </c>
      <c r="R1" s="1" t="s">
        <v>195</v>
      </c>
      <c r="S1" s="1" t="s">
        <v>196</v>
      </c>
      <c r="T1" s="1" t="s">
        <v>167</v>
      </c>
      <c r="U1" s="1" t="s">
        <v>168</v>
      </c>
    </row>
    <row r="2" spans="1:21" x14ac:dyDescent="0.25">
      <c r="A2" t="s">
        <v>197</v>
      </c>
      <c r="B2" t="s">
        <v>198</v>
      </c>
      <c r="H2">
        <v>4</v>
      </c>
      <c r="I2">
        <v>0</v>
      </c>
      <c r="J2">
        <v>0</v>
      </c>
      <c r="K2">
        <v>14000</v>
      </c>
      <c r="L2">
        <v>500</v>
      </c>
      <c r="M2">
        <v>2</v>
      </c>
      <c r="N2" t="b">
        <f>FALSE</f>
        <v>0</v>
      </c>
      <c r="O2">
        <v>0</v>
      </c>
      <c r="P2" t="b">
        <f>FALSE</f>
        <v>0</v>
      </c>
      <c r="Q2">
        <v>0</v>
      </c>
      <c r="R2">
        <v>0</v>
      </c>
      <c r="S2" t="b">
        <f>FALSE</f>
        <v>0</v>
      </c>
      <c r="T2" t="b">
        <f>FALSE</f>
        <v>0</v>
      </c>
      <c r="U2">
        <v>0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"/>
  <sheetViews>
    <sheetView workbookViewId="0"/>
  </sheetViews>
  <sheetFormatPr defaultColWidth="10.7265625" defaultRowHeight="12.5" x14ac:dyDescent="0.25"/>
  <sheetData>
    <row r="1" spans="1:33" x14ac:dyDescent="0.25">
      <c r="A1" s="1" t="s">
        <v>145</v>
      </c>
      <c r="B1" s="1" t="s">
        <v>74</v>
      </c>
      <c r="C1" s="1" t="s">
        <v>146</v>
      </c>
      <c r="D1" s="1" t="s">
        <v>147</v>
      </c>
      <c r="E1" s="1" t="s">
        <v>199</v>
      </c>
      <c r="F1" s="1" t="s">
        <v>77</v>
      </c>
      <c r="G1" s="1" t="s">
        <v>79</v>
      </c>
      <c r="H1" s="1" t="s">
        <v>78</v>
      </c>
      <c r="I1" s="1" t="s">
        <v>149</v>
      </c>
      <c r="J1" s="1" t="s">
        <v>200</v>
      </c>
      <c r="K1" s="1" t="s">
        <v>150</v>
      </c>
      <c r="L1" s="1" t="s">
        <v>151</v>
      </c>
      <c r="M1" s="1" t="s">
        <v>201</v>
      </c>
      <c r="N1" s="1" t="s">
        <v>202</v>
      </c>
      <c r="O1" s="1" t="s">
        <v>203</v>
      </c>
      <c r="P1" s="1" t="s">
        <v>85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90</v>
      </c>
      <c r="V1" s="1" t="s">
        <v>204</v>
      </c>
      <c r="W1" s="1" t="s">
        <v>93</v>
      </c>
      <c r="X1" s="1" t="s">
        <v>94</v>
      </c>
      <c r="Y1" s="1" t="s">
        <v>91</v>
      </c>
      <c r="Z1" s="1" t="s">
        <v>160</v>
      </c>
      <c r="AA1" s="1" t="s">
        <v>103</v>
      </c>
      <c r="AB1" s="1" t="s">
        <v>161</v>
      </c>
      <c r="AC1" s="1" t="s">
        <v>162</v>
      </c>
      <c r="AD1" s="1" t="s">
        <v>163</v>
      </c>
      <c r="AE1" s="1" t="s">
        <v>205</v>
      </c>
      <c r="AF1" s="1" t="s">
        <v>165</v>
      </c>
      <c r="AG1" s="1" t="s">
        <v>166</v>
      </c>
    </row>
    <row r="2" spans="1:33" x14ac:dyDescent="0.25">
      <c r="A2" t="s">
        <v>206</v>
      </c>
      <c r="B2" t="s">
        <v>207</v>
      </c>
      <c r="C2" t="s">
        <v>116</v>
      </c>
      <c r="D2" t="s">
        <v>208</v>
      </c>
      <c r="E2" t="b">
        <f>TRUE</f>
        <v>1</v>
      </c>
      <c r="F2" t="s">
        <v>209</v>
      </c>
      <c r="G2" t="s">
        <v>210</v>
      </c>
      <c r="H2" t="s">
        <v>211</v>
      </c>
      <c r="I2">
        <v>118</v>
      </c>
      <c r="J2">
        <v>0.25</v>
      </c>
      <c r="K2">
        <v>0.02</v>
      </c>
      <c r="L2">
        <v>0.02</v>
      </c>
      <c r="M2">
        <v>28.5</v>
      </c>
      <c r="N2">
        <v>0</v>
      </c>
      <c r="O2" t="s">
        <v>169</v>
      </c>
      <c r="P2">
        <v>12500</v>
      </c>
      <c r="Q2">
        <v>15</v>
      </c>
      <c r="R2">
        <v>45</v>
      </c>
      <c r="S2">
        <v>90</v>
      </c>
      <c r="T2">
        <v>180</v>
      </c>
      <c r="U2">
        <v>0.2</v>
      </c>
      <c r="V2">
        <v>22</v>
      </c>
      <c r="W2">
        <v>0</v>
      </c>
      <c r="X2">
        <v>0</v>
      </c>
      <c r="Y2">
        <v>0</v>
      </c>
      <c r="Z2" t="b">
        <f t="shared" ref="Z2:Z7" si="0">FALSE</f>
        <v>0</v>
      </c>
    </row>
    <row r="3" spans="1:33" x14ac:dyDescent="0.25">
      <c r="A3" t="s">
        <v>212</v>
      </c>
      <c r="B3" t="s">
        <v>213</v>
      </c>
      <c r="C3" t="s">
        <v>116</v>
      </c>
      <c r="D3" t="s">
        <v>214</v>
      </c>
      <c r="E3" t="b">
        <f>FALSE</f>
        <v>0</v>
      </c>
      <c r="F3" t="s">
        <v>215</v>
      </c>
      <c r="G3" t="s">
        <v>216</v>
      </c>
      <c r="H3" t="s">
        <v>211</v>
      </c>
      <c r="I3">
        <v>1000</v>
      </c>
      <c r="J3">
        <v>3.1</v>
      </c>
      <c r="K3">
        <v>0.02</v>
      </c>
      <c r="L3">
        <v>0.02</v>
      </c>
      <c r="M3">
        <v>200</v>
      </c>
      <c r="N3">
        <v>0</v>
      </c>
      <c r="O3" t="s">
        <v>174</v>
      </c>
      <c r="P3">
        <v>361101</v>
      </c>
      <c r="Q3">
        <v>15</v>
      </c>
      <c r="R3">
        <v>45</v>
      </c>
      <c r="S3">
        <v>90</v>
      </c>
      <c r="T3">
        <v>180</v>
      </c>
      <c r="U3">
        <v>1.3</v>
      </c>
      <c r="V3">
        <v>0</v>
      </c>
      <c r="W3">
        <v>0</v>
      </c>
      <c r="X3">
        <v>0</v>
      </c>
      <c r="Y3">
        <v>0.5</v>
      </c>
      <c r="Z3" t="b">
        <f t="shared" si="0"/>
        <v>0</v>
      </c>
    </row>
    <row r="4" spans="1:33" x14ac:dyDescent="0.25">
      <c r="A4" t="s">
        <v>217</v>
      </c>
      <c r="B4" t="s">
        <v>218</v>
      </c>
      <c r="C4" t="s">
        <v>116</v>
      </c>
      <c r="D4" t="s">
        <v>219</v>
      </c>
      <c r="E4" t="b">
        <f>FALSE</f>
        <v>0</v>
      </c>
      <c r="F4" t="s">
        <v>220</v>
      </c>
      <c r="G4" t="s">
        <v>221</v>
      </c>
      <c r="H4" t="s">
        <v>211</v>
      </c>
      <c r="I4">
        <v>1380</v>
      </c>
      <c r="J4">
        <v>0.60000000000000009</v>
      </c>
      <c r="K4">
        <v>0.02</v>
      </c>
      <c r="L4">
        <v>0.02</v>
      </c>
      <c r="M4">
        <v>207</v>
      </c>
      <c r="N4">
        <v>0</v>
      </c>
      <c r="O4" t="s">
        <v>174</v>
      </c>
      <c r="P4">
        <v>35580</v>
      </c>
      <c r="Q4">
        <v>15</v>
      </c>
      <c r="R4">
        <v>45</v>
      </c>
      <c r="S4">
        <v>90</v>
      </c>
      <c r="T4">
        <v>180</v>
      </c>
      <c r="U4">
        <v>1.4</v>
      </c>
      <c r="V4">
        <v>71</v>
      </c>
      <c r="W4">
        <v>106000</v>
      </c>
      <c r="X4">
        <v>0</v>
      </c>
      <c r="Y4">
        <v>1</v>
      </c>
      <c r="Z4" t="b">
        <f t="shared" si="0"/>
        <v>0</v>
      </c>
    </row>
    <row r="5" spans="1:33" x14ac:dyDescent="0.25">
      <c r="A5" t="s">
        <v>222</v>
      </c>
      <c r="B5" t="s">
        <v>223</v>
      </c>
      <c r="C5" t="s">
        <v>116</v>
      </c>
      <c r="D5" t="s">
        <v>224</v>
      </c>
      <c r="E5" t="b">
        <f>FALSE</f>
        <v>0</v>
      </c>
      <c r="F5" t="s">
        <v>225</v>
      </c>
      <c r="G5" t="s">
        <v>226</v>
      </c>
      <c r="H5" t="s">
        <v>211</v>
      </c>
      <c r="I5">
        <v>633</v>
      </c>
      <c r="J5">
        <v>2</v>
      </c>
      <c r="K5">
        <v>0.02</v>
      </c>
      <c r="L5">
        <v>0.02</v>
      </c>
      <c r="M5">
        <v>94.95</v>
      </c>
      <c r="N5">
        <v>0</v>
      </c>
      <c r="O5" t="s">
        <v>179</v>
      </c>
      <c r="P5">
        <v>130000</v>
      </c>
      <c r="Q5">
        <v>15</v>
      </c>
      <c r="R5">
        <v>45</v>
      </c>
      <c r="S5">
        <v>90</v>
      </c>
      <c r="T5">
        <v>180</v>
      </c>
      <c r="U5">
        <v>0.7</v>
      </c>
      <c r="V5">
        <v>30</v>
      </c>
      <c r="W5">
        <v>0</v>
      </c>
      <c r="X5">
        <v>0</v>
      </c>
      <c r="Y5">
        <v>0.5</v>
      </c>
      <c r="Z5" t="b">
        <f t="shared" si="0"/>
        <v>0</v>
      </c>
    </row>
    <row r="6" spans="1:33" x14ac:dyDescent="0.25">
      <c r="A6" t="s">
        <v>227</v>
      </c>
      <c r="B6" t="s">
        <v>228</v>
      </c>
      <c r="C6" t="s">
        <v>116</v>
      </c>
      <c r="D6" t="s">
        <v>224</v>
      </c>
      <c r="E6" t="b">
        <f>FALSE</f>
        <v>0</v>
      </c>
      <c r="F6" t="s">
        <v>229</v>
      </c>
      <c r="G6" t="s">
        <v>230</v>
      </c>
      <c r="H6" t="s">
        <v>211</v>
      </c>
      <c r="I6">
        <v>541</v>
      </c>
      <c r="J6">
        <v>0.7</v>
      </c>
      <c r="K6">
        <v>0.02</v>
      </c>
      <c r="L6">
        <v>0.02</v>
      </c>
      <c r="M6">
        <v>81.150000000000006</v>
      </c>
      <c r="N6">
        <v>0</v>
      </c>
      <c r="O6" t="s">
        <v>179</v>
      </c>
      <c r="P6">
        <v>35580</v>
      </c>
      <c r="Q6">
        <v>15</v>
      </c>
      <c r="R6">
        <v>45</v>
      </c>
      <c r="S6">
        <v>90</v>
      </c>
      <c r="T6">
        <v>180</v>
      </c>
      <c r="U6">
        <v>1.1000000000000001</v>
      </c>
      <c r="V6">
        <v>63</v>
      </c>
      <c r="W6">
        <v>10600</v>
      </c>
      <c r="X6">
        <v>5300</v>
      </c>
      <c r="Y6">
        <v>0.5</v>
      </c>
      <c r="Z6" t="b">
        <f t="shared" si="0"/>
        <v>0</v>
      </c>
    </row>
    <row r="7" spans="1:33" x14ac:dyDescent="0.25">
      <c r="A7" t="s">
        <v>227</v>
      </c>
      <c r="B7" t="s">
        <v>228</v>
      </c>
      <c r="C7" t="s">
        <v>116</v>
      </c>
      <c r="D7" t="s">
        <v>224</v>
      </c>
      <c r="E7" t="b">
        <f>FALSE</f>
        <v>0</v>
      </c>
      <c r="F7" t="s">
        <v>229</v>
      </c>
      <c r="G7" t="s">
        <v>230</v>
      </c>
      <c r="H7" t="s">
        <v>211</v>
      </c>
      <c r="I7">
        <v>541</v>
      </c>
      <c r="J7">
        <v>0.7</v>
      </c>
      <c r="K7">
        <v>0.02</v>
      </c>
      <c r="L7">
        <v>0.02</v>
      </c>
      <c r="M7">
        <v>81.150000000000006</v>
      </c>
      <c r="N7">
        <v>0</v>
      </c>
      <c r="O7" t="s">
        <v>174</v>
      </c>
      <c r="P7">
        <v>35580</v>
      </c>
      <c r="Q7">
        <v>15</v>
      </c>
      <c r="R7">
        <v>45</v>
      </c>
      <c r="S7">
        <v>90</v>
      </c>
      <c r="T7">
        <v>180</v>
      </c>
      <c r="U7">
        <v>1.1000000000000001</v>
      </c>
      <c r="V7">
        <v>63</v>
      </c>
      <c r="W7">
        <v>10600</v>
      </c>
      <c r="X7">
        <v>5300</v>
      </c>
      <c r="Y7">
        <v>0.5</v>
      </c>
      <c r="Z7" t="b">
        <f t="shared" si="0"/>
        <v>0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ColWidth="10.7265625" defaultRowHeight="12.5" x14ac:dyDescent="0.25"/>
  <sheetData>
    <row r="1" spans="1:15" x14ac:dyDescent="0.25">
      <c r="A1" s="1" t="s">
        <v>145</v>
      </c>
      <c r="B1" s="1" t="s">
        <v>74</v>
      </c>
      <c r="C1" s="1" t="s">
        <v>146</v>
      </c>
      <c r="D1" s="1" t="s">
        <v>147</v>
      </c>
      <c r="E1" s="1" t="s">
        <v>77</v>
      </c>
      <c r="F1" s="1" t="s">
        <v>79</v>
      </c>
      <c r="G1" s="1" t="s">
        <v>78</v>
      </c>
      <c r="H1" s="1" t="s">
        <v>150</v>
      </c>
      <c r="I1" s="1" t="s">
        <v>189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85</v>
      </c>
    </row>
    <row r="2" spans="1:15" x14ac:dyDescent="0.25">
      <c r="A2" t="s">
        <v>236</v>
      </c>
      <c r="B2" t="s">
        <v>237</v>
      </c>
      <c r="C2" t="s">
        <v>116</v>
      </c>
      <c r="D2" t="s">
        <v>238</v>
      </c>
      <c r="E2" t="s">
        <v>239</v>
      </c>
      <c r="F2" t="s">
        <v>240</v>
      </c>
      <c r="G2" t="s">
        <v>241</v>
      </c>
      <c r="H2">
        <v>0.05</v>
      </c>
      <c r="I2">
        <v>1</v>
      </c>
      <c r="J2">
        <v>0</v>
      </c>
      <c r="K2">
        <v>75</v>
      </c>
      <c r="L2">
        <v>0</v>
      </c>
      <c r="M2" t="s">
        <v>184</v>
      </c>
      <c r="N2" t="s">
        <v>185</v>
      </c>
      <c r="O2">
        <v>3600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44" sqref="C44"/>
    </sheetView>
  </sheetViews>
  <sheetFormatPr defaultColWidth="10.7265625" defaultRowHeight="12.5" x14ac:dyDescent="0.25"/>
  <cols>
    <col min="1" max="1" width="12.1796875" bestFit="1" customWidth="1"/>
    <col min="2" max="2" width="8.81640625" bestFit="1" customWidth="1"/>
  </cols>
  <sheetData>
    <row r="1" spans="1:4" x14ac:dyDescent="0.25">
      <c r="A1" s="1" t="s">
        <v>242</v>
      </c>
      <c r="B1" s="1" t="s">
        <v>243</v>
      </c>
      <c r="C1" s="1" t="s">
        <v>244</v>
      </c>
      <c r="D1" s="1" t="s">
        <v>245</v>
      </c>
    </row>
    <row r="2" spans="1:4" x14ac:dyDescent="0.25">
      <c r="A2" t="s">
        <v>115</v>
      </c>
      <c r="B2" t="s">
        <v>27</v>
      </c>
      <c r="C2" t="s">
        <v>28</v>
      </c>
      <c r="D2">
        <v>0.4</v>
      </c>
    </row>
    <row r="3" spans="1:4" x14ac:dyDescent="0.25">
      <c r="A3" t="s">
        <v>115</v>
      </c>
      <c r="B3" t="s">
        <v>57</v>
      </c>
      <c r="C3" t="s">
        <v>58</v>
      </c>
      <c r="D3">
        <v>0.4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ColWidth="10.7265625" defaultRowHeight="12.5" x14ac:dyDescent="0.25"/>
  <sheetData>
    <row r="1" spans="1:6" x14ac:dyDescent="0.25">
      <c r="A1" s="1" t="s">
        <v>246</v>
      </c>
      <c r="B1" s="1" t="s">
        <v>247</v>
      </c>
      <c r="C1" s="1" t="s">
        <v>154</v>
      </c>
      <c r="D1" s="1" t="s">
        <v>243</v>
      </c>
      <c r="E1" s="1" t="s">
        <v>244</v>
      </c>
      <c r="F1" s="1" t="s">
        <v>245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ColWidth="10.7265625" defaultRowHeight="12.5" x14ac:dyDescent="0.25"/>
  <sheetData>
    <row r="1" spans="1:5" x14ac:dyDescent="0.25">
      <c r="A1" s="1" t="s">
        <v>248</v>
      </c>
      <c r="B1" s="1" t="s">
        <v>249</v>
      </c>
      <c r="C1" s="1" t="s">
        <v>250</v>
      </c>
      <c r="D1" s="1" t="s">
        <v>244</v>
      </c>
      <c r="E1" s="1" t="s">
        <v>245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ColWidth="10.7265625" defaultRowHeight="12.5" x14ac:dyDescent="0.25"/>
  <sheetData>
    <row r="1" spans="1:12" x14ac:dyDescent="0.25">
      <c r="A1" s="1" t="s">
        <v>251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</row>
    <row r="2" spans="1:12" x14ac:dyDescent="0.25">
      <c r="A2">
        <v>2</v>
      </c>
      <c r="B2">
        <v>29</v>
      </c>
      <c r="C2">
        <v>35</v>
      </c>
      <c r="D2">
        <v>0.01</v>
      </c>
      <c r="E2">
        <v>0.04</v>
      </c>
      <c r="F2">
        <v>0.04</v>
      </c>
      <c r="G2">
        <v>7</v>
      </c>
      <c r="H2">
        <v>250</v>
      </c>
      <c r="I2">
        <v>3500</v>
      </c>
      <c r="J2">
        <v>0</v>
      </c>
      <c r="K2">
        <v>0</v>
      </c>
      <c r="L2">
        <v>0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/>
  </sheetViews>
  <sheetFormatPr defaultColWidth="10.7265625" defaultRowHeight="12.5" x14ac:dyDescent="0.25"/>
  <sheetData>
    <row r="1" spans="1:16" x14ac:dyDescent="0.25">
      <c r="A1" s="1" t="s">
        <v>263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275</v>
      </c>
      <c r="N1" s="1" t="s">
        <v>276</v>
      </c>
      <c r="O1" s="1" t="s">
        <v>277</v>
      </c>
      <c r="P1" s="1" t="s">
        <v>278</v>
      </c>
    </row>
    <row r="2" spans="1:16" x14ac:dyDescent="0.25">
      <c r="A2">
        <v>7.25</v>
      </c>
      <c r="B2">
        <v>10.35</v>
      </c>
      <c r="C2">
        <v>21</v>
      </c>
      <c r="D2">
        <v>21</v>
      </c>
      <c r="E2">
        <v>0.85</v>
      </c>
      <c r="F2">
        <v>0.85</v>
      </c>
      <c r="G2">
        <v>0.85</v>
      </c>
      <c r="H2">
        <v>0.85</v>
      </c>
      <c r="I2">
        <v>0.9</v>
      </c>
      <c r="J2">
        <v>0.9</v>
      </c>
      <c r="K2">
        <v>0.45</v>
      </c>
      <c r="L2">
        <v>0.45</v>
      </c>
      <c r="M2">
        <v>16.205882352941178</v>
      </c>
      <c r="N2">
        <v>23.13529411764706</v>
      </c>
      <c r="O2">
        <v>35.823529411764703</v>
      </c>
      <c r="P2">
        <v>35.823529411764703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ColWidth="10.7265625" defaultRowHeight="12.5" x14ac:dyDescent="0.25"/>
  <sheetData>
    <row r="1" spans="1:10" x14ac:dyDescent="0.25">
      <c r="A1" s="1" t="s">
        <v>279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  <row r="2" spans="1:10" x14ac:dyDescent="0.25">
      <c r="A2">
        <v>238.6</v>
      </c>
      <c r="B2">
        <v>38.28</v>
      </c>
      <c r="C2">
        <v>0.06</v>
      </c>
      <c r="D2">
        <v>15.69</v>
      </c>
      <c r="E2">
        <v>787.31</v>
      </c>
      <c r="F2">
        <v>571.63</v>
      </c>
      <c r="G2">
        <v>270</v>
      </c>
      <c r="H2">
        <v>382</v>
      </c>
      <c r="I2">
        <v>0.01</v>
      </c>
      <c r="J2">
        <v>0.85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ColWidth="10.7265625" defaultRowHeight="12.5" x14ac:dyDescent="0.25"/>
  <sheetData>
    <row r="1" spans="1:15" x14ac:dyDescent="0.25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</row>
    <row r="2" spans="1:15" x14ac:dyDescent="0.25">
      <c r="A2">
        <v>18.135780731101814</v>
      </c>
      <c r="B2">
        <v>932.8376863865775</v>
      </c>
      <c r="C2">
        <v>1.0881468438661086</v>
      </c>
      <c r="D2">
        <v>10585.466190804878</v>
      </c>
      <c r="E2">
        <v>16.205882352941178</v>
      </c>
      <c r="F2">
        <v>23.13529411764706</v>
      </c>
      <c r="G2">
        <v>35.823529411764703</v>
      </c>
      <c r="H2">
        <v>35.823529411764703</v>
      </c>
      <c r="I2">
        <v>1.2695046511771271</v>
      </c>
      <c r="J2">
        <v>181.35780731101815</v>
      </c>
      <c r="K2">
        <v>2539.009302354254</v>
      </c>
      <c r="L2">
        <v>226697.25913877267</v>
      </c>
      <c r="M2">
        <v>0.99984293676801461</v>
      </c>
      <c r="N2">
        <v>1908.4515878320271</v>
      </c>
      <c r="O2">
        <v>3.4425814319258805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Support Equipment</vt:lpstr>
      <vt:lpstr>Personnel</vt:lpstr>
      <vt:lpstr>Repair Placement</vt:lpstr>
      <vt:lpstr>End Item</vt:lpstr>
      <vt:lpstr>Global Settings</vt:lpstr>
      <vt:lpstr>LRU</vt:lpstr>
      <vt:lpstr>NLRU</vt:lpstr>
      <vt:lpstr>SRU</vt:lpstr>
      <vt:lpstr>NSRU</vt:lpstr>
      <vt:lpstr>End Item Repair Methods</vt:lpstr>
      <vt:lpstr>LRU Repair Methods</vt:lpstr>
      <vt:lpstr>SRU Repair Methods</vt:lpstr>
      <vt:lpstr>Transportation</vt:lpstr>
      <vt:lpstr>Common Labor</vt:lpstr>
      <vt:lpstr>Supply</vt:lpstr>
      <vt:lpstr>Calculated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Choi, Justin [US]</cp:lastModifiedBy>
  <dcterms:created xsi:type="dcterms:W3CDTF">2024-10-28T15:40:06Z</dcterms:created>
  <dcterms:modified xsi:type="dcterms:W3CDTF">2024-10-28T15:40:06Z</dcterms:modified>
</cp:coreProperties>
</file>